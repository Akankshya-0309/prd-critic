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ubric" sheetId="2" state="visible" r:id="rId4"/>
    <sheet name="Scores" sheetId="3" state="visible" r:id="rId5"/>
    <sheet name="Failure mod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<sst xmlns="http://schemas.openxmlformats.org/spreadsheetml/2006/main" count="110" uniqueCount="105">
  <si>
    <t xml:space="preserve">PRD Critic — Eval Workbook</t>
  </si>
  <si>
    <t xml:space="preserve">How to use this workbook</t>
  </si>
  <si>
    <t xml:space="preserve">1. On the 'Scores' tab, fill in one row per test PRD.</t>
  </si>
  <si>
    <t xml:space="preserve">   - Columns B–I are your HUMAN scores for each rubric criterion (1–5).</t>
  </si>
  <si>
    <t xml:space="preserve">   - Columns J–Q are the CRITIC's scores (what Claude returned).</t>
  </si>
  <si>
    <t xml:space="preserve">   - Columns R, S, T compute automatically.</t>
  </si>
  <si>
    <t xml:space="preserve">2. The 'Rubric' tab is a quick reference for what each score means.</t>
  </si>
  <si>
    <t xml:space="preserve">3. The 'Failure modes' tab is for qualitative notes — where the critic</t>
  </si>
  <si>
    <t xml:space="preserve">   over-called, under-called, hallucinated, or gave vague feedback.</t>
  </si>
  <si>
    <t xml:space="preserve">   This tab is the gold of the project for interviews.</t>
  </si>
  <si>
    <t xml:space="preserve">4. Summary stats auto-compute at the bottom of the 'Scores' tab (rows 13+).</t>
  </si>
  <si>
    <t xml:space="preserve">What good output looks like</t>
  </si>
  <si>
    <t xml:space="preserve">- Average |Critic − Human| across all cells: under 1.0 point = strong calibration.</t>
  </si>
  <si>
    <t xml:space="preserve">- At least one clear failure mode documented with an example.</t>
  </si>
  <si>
    <t xml:space="preserve">- At least one 'unexpected win' — a case where the critic caught something you missed.</t>
  </si>
  <si>
    <t xml:space="preserve">Criterion</t>
  </si>
  <si>
    <t xml:space="preserve">Weight</t>
  </si>
  <si>
    <t xml:space="preserve">1 — Missing/Wrong</t>
  </si>
  <si>
    <t xml:space="preserve">3 — Adequate</t>
  </si>
  <si>
    <t xml:space="preserve">5 — Exceptional</t>
  </si>
  <si>
    <t xml:space="preserve">Problem clarity</t>
  </si>
  <si>
    <t xml:space="preserve">High</t>
  </si>
  <si>
    <t xml:space="preserve">No user or moment named; describes feature as problem.</t>
  </si>
  <si>
    <t xml:space="preserve">User and pain named, but generic.</t>
  </si>
  <si>
    <t xml:space="preserve">Problem reframed in a way that reveals a new angle.</t>
  </si>
  <si>
    <t xml:space="preserve">Evidence &amp; grounding</t>
  </si>
  <si>
    <t xml:space="preserve">No data, no quotes, no research.</t>
  </si>
  <si>
    <t xml:space="preserve">Some evidence; mix of 'we assume' and 'we know' unclear.</t>
  </si>
  <si>
    <t xml:space="preserve">Clear split between verified and assumed; rich evidence.</t>
  </si>
  <si>
    <t xml:space="preserve">Target user</t>
  </si>
  <si>
    <t xml:space="preserve">Medium</t>
  </si>
  <si>
    <t xml:space="preserve">'Our users' or similar.</t>
  </si>
  <si>
    <t xml:space="preserve">Named segment with some specificity.</t>
  </si>
  <si>
    <t xml:space="preserve">Specific segment + who it's NOT for, with reasoning.</t>
  </si>
  <si>
    <t xml:space="preserve">Success metrics</t>
  </si>
  <si>
    <t xml:space="preserve">Vanity metric or no metric.</t>
  </si>
  <si>
    <t xml:space="preserve">Primary metric plus target, no counter-metrics.</t>
  </si>
  <si>
    <t xml:space="preserve">Primary + counter + leading indicators + kill criterion.</t>
  </si>
  <si>
    <t xml:space="preserve">Solution rationale</t>
  </si>
  <si>
    <t xml:space="preserve">One solution, no alternatives.</t>
  </si>
  <si>
    <t xml:space="preserve">Alternatives named but lightly dismissed.</t>
  </si>
  <si>
    <t xml:space="preserve">2+ alternatives weighed with honest tradeoffs.</t>
  </si>
  <si>
    <t xml:space="preserve">Scope &amp; non-goals</t>
  </si>
  <si>
    <t xml:space="preserve">Scope open-ended, no non-goals.</t>
  </si>
  <si>
    <t xml:space="preserve">Non-goals listed but vague.</t>
  </si>
  <si>
    <t xml:space="preserve">Tight scope + explicit non-goals + dependencies.</t>
  </si>
  <si>
    <t xml:space="preserve">Risks &amp; unknowns</t>
  </si>
  <si>
    <t xml:space="preserve">No risks listed.</t>
  </si>
  <si>
    <t xml:space="preserve">Risks listed, not prioritized.</t>
  </si>
  <si>
    <t xml:space="preserve">Risks ranked; mitigations concrete; unknowns named.</t>
  </si>
  <si>
    <t xml:space="preserve">Rollout &amp; learning</t>
  </si>
  <si>
    <t xml:space="preserve">Low-Med</t>
  </si>
  <si>
    <t xml:space="preserve">Ship to everyone, no plan.</t>
  </si>
  <si>
    <t xml:space="preserve">Staged rollout, no kill criterion.</t>
  </si>
  <si>
    <t xml:space="preserve">Staged + metric gates + explicit kill/iterate criterion.</t>
  </si>
  <si>
    <t xml:space="preserve">PRD ID / Title</t>
  </si>
  <si>
    <t xml:space="preserve">H: Problem</t>
  </si>
  <si>
    <t xml:space="preserve">H: Evidence</t>
  </si>
  <si>
    <t xml:space="preserve">H: Target user</t>
  </si>
  <si>
    <t xml:space="preserve">H: Metrics</t>
  </si>
  <si>
    <t xml:space="preserve">H: Rationale</t>
  </si>
  <si>
    <t xml:space="preserve">H: Scope</t>
  </si>
  <si>
    <t xml:space="preserve">H: Risks</t>
  </si>
  <si>
    <t xml:space="preserve">H: Rollout</t>
  </si>
  <si>
    <t xml:space="preserve">C: Problem</t>
  </si>
  <si>
    <t xml:space="preserve">C: Evidence</t>
  </si>
  <si>
    <t xml:space="preserve">C: Target user</t>
  </si>
  <si>
    <t xml:space="preserve">C: Metrics</t>
  </si>
  <si>
    <t xml:space="preserve">C: Rationale</t>
  </si>
  <si>
    <t xml:space="preserve">C: Scope</t>
  </si>
  <si>
    <t xml:space="preserve">C: Risks</t>
  </si>
  <si>
    <t xml:space="preserve">C: Rollout</t>
  </si>
  <si>
    <t xml:space="preserve">H avg</t>
  </si>
  <si>
    <t xml:space="preserve">C avg</t>
  </si>
  <si>
    <t xml:space="preserve">Avg |C-H|</t>
  </si>
  <si>
    <t xml:space="preserve">04-sample-prd-weak</t>
  </si>
  <si>
    <t xml:space="preserve">05-sample-prd-medium</t>
  </si>
  <si>
    <t xml:space="preserve">06-sample-prd-strong</t>
  </si>
  <si>
    <t xml:space="preserve">(fill in test PRD #4)</t>
  </si>
  <si>
    <t xml:space="preserve">(fill in test PRD #5)</t>
  </si>
  <si>
    <t xml:space="preserve">(fill in test PRD #6)</t>
  </si>
  <si>
    <t xml:space="preserve">(fill in test PRD #7)</t>
  </si>
  <si>
    <t xml:space="preserve">(fill in test PRD #8)</t>
  </si>
  <si>
    <t xml:space="preserve">(fill in test PRD #9)</t>
  </si>
  <si>
    <t xml:space="preserve">(fill in test PRD #10)</t>
  </si>
  <si>
    <t xml:space="preserve">Summary</t>
  </si>
  <si>
    <t xml:space="preserve"># of PRDs scored</t>
  </si>
  <si>
    <t xml:space="preserve">Average HUMAN overall</t>
  </si>
  <si>
    <t xml:space="preserve">Average CRITIC overall</t>
  </si>
  <si>
    <t xml:space="preserve">Avg |Critic − Human| (calibration gap)</t>
  </si>
  <si>
    <t xml:space="preserve">Calibration gap &lt; 1.0 = strong</t>
  </si>
  <si>
    <t xml:space="preserve">Calibration gap 1.0–1.5 = acceptable</t>
  </si>
  <si>
    <t xml:space="preserve">Calibration gap &gt; 1.5 = prompt needs work</t>
  </si>
  <si>
    <t xml:space="preserve">PRD ID</t>
  </si>
  <si>
    <t xml:space="preserve">Failure mode</t>
  </si>
  <si>
    <t xml:space="preserve">Example quote from critic</t>
  </si>
  <si>
    <t xml:space="preserve">Why it's wrong</t>
  </si>
  <si>
    <t xml:space="preserve">Pattern? (Y/N)</t>
  </si>
  <si>
    <t xml:space="preserve">Suggested prompt fix</t>
  </si>
  <si>
    <t xml:space="preserve">(e.g., 04-sample-prd-weak)</t>
  </si>
  <si>
    <t xml:space="preserve">Generic praise</t>
  </si>
  <si>
    <t xml:space="preserve">Hallucinated context</t>
  </si>
  <si>
    <t xml:space="preserve">Nitpicking over structural issues</t>
  </si>
  <si>
    <t xml:space="preserve">Uniform harshness (miscalibrated)</t>
  </si>
  <si>
    <t xml:space="preserve">Missed a major issue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</si>
</sst>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b val="true"/>
      <sz val="10"/>
      <color rgb="FF7F2F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FCE4D6"/>
      </patternFill>
    </fill>
    <fill>
      <patternFill patternType="solid">
        <fgColor rgb="FFFCE4D6"/>
        <bgColor rgb="FFDCE6F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7F2F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95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.75" hidden="false" customHeight="true" outlineLevel="0" collapsed="false">
      <c r="A3" s="4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3" t="s">
        <v>2</v>
      </c>
    </row>
    <row r="6" customFormat="false" ht="15" hidden="false" customHeight="true" outlineLevel="0" collapsed="false">
      <c r="A6" s="3" t="s">
        <v>3</v>
      </c>
    </row>
    <row r="7" customFormat="false" ht="1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/>
    </row>
    <row r="10" customFormat="false" ht="15" hidden="false" customHeight="true" outlineLevel="0" collapsed="false">
      <c r="A10" s="3" t="s">
        <v>6</v>
      </c>
    </row>
    <row r="11" customFormat="false" ht="15" hidden="false" customHeight="true" outlineLevel="0" collapsed="false">
      <c r="A11" s="3"/>
    </row>
    <row r="12" customFormat="false" ht="15" hidden="false" customHeight="true" outlineLevel="0" collapsed="false">
      <c r="A12" s="3" t="s">
        <v>7</v>
      </c>
    </row>
    <row r="13" customFormat="false" ht="15" hidden="false" customHeight="true" outlineLevel="0" collapsed="false">
      <c r="A13" s="3" t="s">
        <v>8</v>
      </c>
    </row>
    <row r="14" customFormat="false" ht="15" hidden="false" customHeight="true" outlineLevel="0" collapsed="false">
      <c r="A14" s="3" t="s">
        <v>9</v>
      </c>
    </row>
    <row r="15" customFormat="false" ht="15" hidden="false" customHeight="true" outlineLevel="0" collapsed="false">
      <c r="A15" s="3"/>
    </row>
    <row r="16" customFormat="false" ht="15" hidden="false" customHeight="true" outlineLevel="0" collapsed="false">
      <c r="A16" s="3" t="s">
        <v>10</v>
      </c>
    </row>
    <row r="17" customFormat="false" ht="15" hidden="false" customHeight="true" outlineLevel="0" collapsed="false">
      <c r="A17" s="3"/>
    </row>
    <row r="18" customFormat="false" ht="15.75" hidden="false" customHeight="true" outlineLevel="0" collapsed="false">
      <c r="A18" s="4" t="s">
        <v>11</v>
      </c>
    </row>
    <row r="19" customFormat="false" ht="15" hidden="false" customHeight="true" outlineLevel="0" collapsed="false">
      <c r="A19" s="3"/>
    </row>
    <row r="20" customFormat="false" ht="15" hidden="false" customHeight="true" outlineLevel="0" collapsed="false">
      <c r="A20" s="3" t="s">
        <v>12</v>
      </c>
    </row>
    <row r="21" customFormat="false" ht="15" hidden="false" customHeight="true" outlineLevel="0" collapsed="false">
      <c r="A21" s="3" t="s">
        <v>13</v>
      </c>
    </row>
    <row r="22" customFormat="false" ht="15" hidden="false" customHeight="true" outlineLevel="0" collapsed="false">
      <c r="A22" s="3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4" min="3" style="1" width="38"/>
    <col collapsed="false" customWidth="true" hidden="false" outlineLevel="0" max="5" min="5" style="1" width="40"/>
  </cols>
  <sheetData>
    <row r="1" customFormat="false" ht="15" hidden="false" customHeight="tru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</row>
    <row r="2" customFormat="false" ht="60" hidden="false" customHeight="true" outlineLevel="0" collapsed="false">
      <c r="A2" s="6" t="s">
        <v>20</v>
      </c>
      <c r="B2" s="6" t="s">
        <v>21</v>
      </c>
      <c r="C2" s="6" t="s">
        <v>22</v>
      </c>
      <c r="D2" s="6" t="s">
        <v>23</v>
      </c>
      <c r="E2" s="6" t="s">
        <v>24</v>
      </c>
    </row>
    <row r="3" customFormat="false" ht="60" hidden="false" customHeight="true" outlineLevel="0" collapsed="false">
      <c r="A3" s="6" t="s">
        <v>25</v>
      </c>
      <c r="B3" s="6" t="s">
        <v>21</v>
      </c>
      <c r="C3" s="6" t="s">
        <v>26</v>
      </c>
      <c r="D3" s="6" t="s">
        <v>27</v>
      </c>
      <c r="E3" s="6" t="s">
        <v>28</v>
      </c>
    </row>
    <row r="4" customFormat="false" ht="60" hidden="false" customHeight="true" outlineLevel="0" collapsed="false">
      <c r="A4" s="6" t="s">
        <v>29</v>
      </c>
      <c r="B4" s="6" t="s">
        <v>30</v>
      </c>
      <c r="C4" s="6" t="s">
        <v>31</v>
      </c>
      <c r="D4" s="6" t="s">
        <v>32</v>
      </c>
      <c r="E4" s="6" t="s">
        <v>33</v>
      </c>
    </row>
    <row r="5" customFormat="false" ht="60" hidden="false" customHeight="true" outlineLevel="0" collapsed="false">
      <c r="A5" s="6" t="s">
        <v>34</v>
      </c>
      <c r="B5" s="6" t="s">
        <v>21</v>
      </c>
      <c r="C5" s="6" t="s">
        <v>35</v>
      </c>
      <c r="D5" s="6" t="s">
        <v>36</v>
      </c>
      <c r="E5" s="6" t="s">
        <v>37</v>
      </c>
    </row>
    <row r="6" customFormat="false" ht="60" hidden="false" customHeight="true" outlineLevel="0" collapsed="false">
      <c r="A6" s="6" t="s">
        <v>38</v>
      </c>
      <c r="B6" s="6" t="s">
        <v>30</v>
      </c>
      <c r="C6" s="6" t="s">
        <v>39</v>
      </c>
      <c r="D6" s="6" t="s">
        <v>40</v>
      </c>
      <c r="E6" s="6" t="s">
        <v>41</v>
      </c>
    </row>
    <row r="7" customFormat="false" ht="60" hidden="false" customHeight="true" outlineLevel="0" collapsed="false">
      <c r="A7" s="6" t="s">
        <v>42</v>
      </c>
      <c r="B7" s="6" t="s">
        <v>30</v>
      </c>
      <c r="C7" s="6" t="s">
        <v>43</v>
      </c>
      <c r="D7" s="6" t="s">
        <v>44</v>
      </c>
      <c r="E7" s="6" t="s">
        <v>45</v>
      </c>
    </row>
    <row r="8" customFormat="false" ht="60" hidden="false" customHeight="true" outlineLevel="0" collapsed="false">
      <c r="A8" s="6" t="s">
        <v>46</v>
      </c>
      <c r="B8" s="6" t="s">
        <v>30</v>
      </c>
      <c r="C8" s="6" t="s">
        <v>47</v>
      </c>
      <c r="D8" s="6" t="s">
        <v>48</v>
      </c>
      <c r="E8" s="6" t="s">
        <v>49</v>
      </c>
    </row>
    <row r="9" customFormat="false" ht="60" hidden="false" customHeight="true" outlineLevel="0" collapsed="false">
      <c r="A9" s="6" t="s">
        <v>50</v>
      </c>
      <c r="B9" s="6" t="s">
        <v>51</v>
      </c>
      <c r="C9" s="6" t="s">
        <v>52</v>
      </c>
      <c r="D9" s="6" t="s">
        <v>53</v>
      </c>
      <c r="E9" s="6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17" min="2" style="1" width="10"/>
    <col collapsed="false" customWidth="true" hidden="false" outlineLevel="0" max="20" min="18" style="1" width="12"/>
  </cols>
  <sheetData>
    <row r="1" customFormat="false" ht="34.5" hidden="false" customHeight="true" outlineLevel="0" collapsed="false">
      <c r="A1" s="7" t="s">
        <v>55</v>
      </c>
      <c r="B1" s="8" t="s">
        <v>56</v>
      </c>
      <c r="C1" s="8" t="s">
        <v>57</v>
      </c>
      <c r="D1" s="8" t="s">
        <v>58</v>
      </c>
      <c r="E1" s="8" t="s">
        <v>59</v>
      </c>
      <c r="F1" s="8" t="s">
        <v>60</v>
      </c>
      <c r="G1" s="8" t="s">
        <v>61</v>
      </c>
      <c r="H1" s="8" t="s">
        <v>62</v>
      </c>
      <c r="I1" s="8" t="s">
        <v>63</v>
      </c>
      <c r="J1" s="9" t="s">
        <v>64</v>
      </c>
      <c r="K1" s="9" t="s">
        <v>65</v>
      </c>
      <c r="L1" s="9" t="s">
        <v>66</v>
      </c>
      <c r="M1" s="9" t="s">
        <v>67</v>
      </c>
      <c r="N1" s="9" t="s">
        <v>68</v>
      </c>
      <c r="O1" s="9" t="s">
        <v>69</v>
      </c>
      <c r="P1" s="9" t="s">
        <v>70</v>
      </c>
      <c r="Q1" s="9" t="s">
        <v>71</v>
      </c>
      <c r="R1" s="7" t="s">
        <v>72</v>
      </c>
      <c r="S1" s="7" t="s">
        <v>73</v>
      </c>
      <c r="T1" s="7" t="s">
        <v>74</v>
      </c>
    </row>
    <row r="2" customFormat="false" ht="15" hidden="false" customHeight="true" outlineLevel="0" collapsed="false">
      <c r="A2" s="10" t="s">
        <v>75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 t="str">
        <f aca="false">IFERROR(AVERAGE(B2:I2),"")</f>
        <v/>
      </c>
      <c r="S2" s="11" t="str">
        <f aca="false">IFERROR(AVERAGE(J2:Q2),"")</f>
        <v/>
      </c>
      <c r="T2" s="11" t="str">
        <f aca="false">IFERROR(SUMPRODUCT(ABS(B2:I2-J2:Q2))/SUMPRODUCT(--(B2:I2&lt;&gt;""),--(J2:Q2&lt;&gt;"")),"")</f>
        <v/>
      </c>
    </row>
    <row r="3" customFormat="false" ht="15" hidden="false" customHeight="true" outlineLevel="0" collapsed="false">
      <c r="A3" s="10" t="s">
        <v>76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 t="str">
        <f aca="false">IFERROR(AVERAGE(B3:I3),"")</f>
        <v/>
      </c>
      <c r="S3" s="11" t="str">
        <f aca="false">IFERROR(AVERAGE(J3:Q3),"")</f>
        <v/>
      </c>
      <c r="T3" s="11" t="str">
        <f aca="false">IFERROR(SUMPRODUCT(ABS(B3:I3-J3:Q3))/SUMPRODUCT(--(B3:I3&lt;&gt;""),--(J3:Q3&lt;&gt;"")),"")</f>
        <v/>
      </c>
    </row>
    <row r="4" customFormat="false" ht="15" hidden="false" customHeight="true" outlineLevel="0" collapsed="false">
      <c r="A4" s="10" t="s">
        <v>77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 t="str">
        <f aca="false">IFERROR(AVERAGE(B4:I4),"")</f>
        <v/>
      </c>
      <c r="S4" s="11" t="str">
        <f aca="false">IFERROR(AVERAGE(J4:Q4),"")</f>
        <v/>
      </c>
      <c r="T4" s="11" t="str">
        <f aca="false">IFERROR(SUMPRODUCT(ABS(B4:I4-J4:Q4))/SUMPRODUCT(--(B4:I4&lt;&gt;""),--(J4:Q4&lt;&gt;"")),"")</f>
        <v/>
      </c>
    </row>
    <row r="5" customFormat="false" ht="15" hidden="false" customHeight="true" outlineLevel="0" collapsed="false">
      <c r="A5" s="10" t="s">
        <v>78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 t="str">
        <f aca="false">IFERROR(AVERAGE(B5:I5),"")</f>
        <v/>
      </c>
      <c r="S5" s="11" t="str">
        <f aca="false">IFERROR(AVERAGE(J5:Q5),"")</f>
        <v/>
      </c>
      <c r="T5" s="11" t="str">
        <f aca="false">IFERROR(SUMPRODUCT(ABS(B5:I5-J5:Q5))/SUMPRODUCT(--(B5:I5&lt;&gt;""),--(J5:Q5&lt;&gt;"")),"")</f>
        <v/>
      </c>
    </row>
    <row r="6" customFormat="false" ht="15" hidden="false" customHeight="true" outlineLevel="0" collapsed="false">
      <c r="A6" s="10" t="s">
        <v>79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 t="str">
        <f aca="false">IFERROR(AVERAGE(B6:I6),"")</f>
        <v/>
      </c>
      <c r="S6" s="11" t="str">
        <f aca="false">IFERROR(AVERAGE(J6:Q6),"")</f>
        <v/>
      </c>
      <c r="T6" s="11" t="str">
        <f aca="false">IFERROR(SUMPRODUCT(ABS(B6:I6-J6:Q6))/SUMPRODUCT(--(B6:I6&lt;&gt;""),--(J6:Q6&lt;&gt;"")),"")</f>
        <v/>
      </c>
    </row>
    <row r="7" customFormat="false" ht="15" hidden="false" customHeight="true" outlineLevel="0" collapsed="false">
      <c r="A7" s="10" t="s">
        <v>80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 t="str">
        <f aca="false">IFERROR(AVERAGE(B7:I7),"")</f>
        <v/>
      </c>
      <c r="S7" s="11" t="str">
        <f aca="false">IFERROR(AVERAGE(J7:Q7),"")</f>
        <v/>
      </c>
      <c r="T7" s="11" t="str">
        <f aca="false">IFERROR(SUMPRODUCT(ABS(B7:I7-J7:Q7))/SUMPRODUCT(--(B7:I7&lt;&gt;""),--(J7:Q7&lt;&gt;"")),"")</f>
        <v/>
      </c>
    </row>
    <row r="8" customFormat="false" ht="15" hidden="false" customHeight="true" outlineLevel="0" collapsed="false">
      <c r="A8" s="10" t="s">
        <v>81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 t="str">
        <f aca="false">IFERROR(AVERAGE(B8:I8),"")</f>
        <v/>
      </c>
      <c r="S8" s="11" t="str">
        <f aca="false">IFERROR(AVERAGE(J8:Q8),"")</f>
        <v/>
      </c>
      <c r="T8" s="11" t="str">
        <f aca="false">IFERROR(SUMPRODUCT(ABS(B8:I8-J8:Q8))/SUMPRODUCT(--(B8:I8&lt;&gt;""),--(J8:Q8&lt;&gt;"")),"")</f>
        <v/>
      </c>
    </row>
    <row r="9" customFormat="false" ht="15" hidden="false" customHeight="true" outlineLevel="0" collapsed="false">
      <c r="A9" s="10" t="s">
        <v>82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 t="str">
        <f aca="false">IFERROR(AVERAGE(B9:I9),"")</f>
        <v/>
      </c>
      <c r="S9" s="11" t="str">
        <f aca="false">IFERROR(AVERAGE(J9:Q9),"")</f>
        <v/>
      </c>
      <c r="T9" s="11" t="str">
        <f aca="false">IFERROR(SUMPRODUCT(ABS(B9:I9-J9:Q9))/SUMPRODUCT(--(B9:I9&lt;&gt;""),--(J9:Q9&lt;&gt;"")),"")</f>
        <v/>
      </c>
    </row>
    <row r="10" customFormat="false" ht="15" hidden="false" customHeight="true" outlineLevel="0" collapsed="false">
      <c r="A10" s="10" t="s">
        <v>83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 t="str">
        <f aca="false">IFERROR(AVERAGE(B10:I10),"")</f>
        <v/>
      </c>
      <c r="S10" s="11" t="str">
        <f aca="false">IFERROR(AVERAGE(J10:Q10),"")</f>
        <v/>
      </c>
      <c r="T10" s="11" t="str">
        <f aca="false">IFERROR(SUMPRODUCT(ABS(B10:I10-J10:Q10))/SUMPRODUCT(--(B10:I10&lt;&gt;""),--(J10:Q10&lt;&gt;"")),"")</f>
        <v/>
      </c>
    </row>
    <row r="11" customFormat="false" ht="15" hidden="false" customHeight="true" outlineLevel="0" collapsed="false">
      <c r="A11" s="10" t="s">
        <v>84</v>
      </c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 t="str">
        <f aca="false">IFERROR(AVERAGE(B11:I11),"")</f>
        <v/>
      </c>
      <c r="S11" s="11" t="str">
        <f aca="false">IFERROR(AVERAGE(J11:Q11),"")</f>
        <v/>
      </c>
      <c r="T11" s="11" t="str">
        <f aca="false">IFERROR(SUMPRODUCT(ABS(B11:I11-J11:Q11))/SUMPRODUCT(--(B11:I11&lt;&gt;""),--(J11:Q11&lt;&gt;"")),"")</f>
        <v/>
      </c>
    </row>
    <row r="13" customFormat="false" ht="15" hidden="false" customHeight="false" outlineLevel="0" collapsed="false">
      <c r="A13" s="12" t="s">
        <v>85</v>
      </c>
    </row>
    <row r="14" customFormat="false" ht="15" hidden="false" customHeight="false" outlineLevel="0" collapsed="false">
      <c r="A14" s="3" t="s">
        <v>86</v>
      </c>
      <c r="B14" s="13" t="n">
        <f aca="false">COUNT(R2:R11)</f>
        <v>0</v>
      </c>
    </row>
    <row r="15" customFormat="false" ht="15" hidden="false" customHeight="false" outlineLevel="0" collapsed="false">
      <c r="A15" s="3" t="s">
        <v>87</v>
      </c>
      <c r="B15" s="13" t="str">
        <f aca="false">IFERROR(AVERAGEIF(R2:R11,"&gt;=0"),"")</f>
        <v/>
      </c>
    </row>
    <row r="16" customFormat="false" ht="15" hidden="false" customHeight="false" outlineLevel="0" collapsed="false">
      <c r="A16" s="3" t="s">
        <v>88</v>
      </c>
      <c r="B16" s="13" t="str">
        <f aca="false">IFERROR(AVERAGEIF(S2:S11,"&gt;=0"),"")</f>
        <v/>
      </c>
    </row>
    <row r="17" customFormat="false" ht="15" hidden="false" customHeight="false" outlineLevel="0" collapsed="false">
      <c r="A17" s="3" t="s">
        <v>89</v>
      </c>
      <c r="B17" s="13" t="str">
        <f aca="false">IFERROR(AVERAGEIF(T2:T11,"&gt;=0"),"")</f>
        <v/>
      </c>
    </row>
    <row r="19" customFormat="false" ht="15" hidden="false" customHeight="false" outlineLevel="0" collapsed="false">
      <c r="A19" s="14" t="s">
        <v>90</v>
      </c>
    </row>
    <row r="20" customFormat="false" ht="15" hidden="false" customHeight="false" outlineLevel="0" collapsed="false">
      <c r="A20" s="14" t="s">
        <v>91</v>
      </c>
    </row>
    <row r="21" customFormat="false" ht="15" hidden="false" customHeight="false" outlineLevel="0" collapsed="false">
      <c r="A21" s="14" t="s">
        <v>92</v>
      </c>
    </row>
  </sheetData>
  <conditionalFormatting sqref="T2:T11">
    <cfRule type="colorScale" priority="2">
      <colorScale>
        <cfvo type="num" val="0"/>
        <cfvo type="num" val="1"/>
        <cfvo type="num" val="2.5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30"/>
    <col collapsed="false" customWidth="true" hidden="false" outlineLevel="0" max="4" min="3" style="1" width="40"/>
    <col collapsed="false" customWidth="true" hidden="false" outlineLevel="0" max="5" min="5" style="1" width="14"/>
    <col collapsed="false" customWidth="true" hidden="false" outlineLevel="0" max="6" min="6" style="1" width="40"/>
  </cols>
  <sheetData>
    <row r="1" customFormat="false" ht="26.25" hidden="false" customHeight="true" outlineLevel="0" collapsed="false">
      <c r="A1" s="15" t="s">
        <v>93</v>
      </c>
      <c r="B1" s="15" t="s">
        <v>94</v>
      </c>
      <c r="C1" s="15" t="s">
        <v>95</v>
      </c>
      <c r="D1" s="15" t="s">
        <v>96</v>
      </c>
      <c r="E1" s="15" t="s">
        <v>97</v>
      </c>
      <c r="F1" s="15" t="s">
        <v>98</v>
      </c>
    </row>
    <row r="2" customFormat="false" ht="49.5" hidden="false" customHeight="true" outlineLevel="0" collapsed="false">
      <c r="A2" s="6" t="s">
        <v>99</v>
      </c>
      <c r="B2" s="6" t="s">
        <v>100</v>
      </c>
      <c r="C2" s="6"/>
      <c r="D2" s="6"/>
      <c r="E2" s="6"/>
      <c r="F2" s="6"/>
    </row>
    <row r="3" customFormat="false" ht="49.5" hidden="false" customHeight="true" outlineLevel="0" collapsed="false">
      <c r="A3" s="6"/>
      <c r="B3" s="6" t="s">
        <v>101</v>
      </c>
      <c r="C3" s="6"/>
      <c r="D3" s="6"/>
      <c r="E3" s="6"/>
      <c r="F3" s="6"/>
    </row>
    <row r="4" customFormat="false" ht="49.5" hidden="false" customHeight="true" outlineLevel="0" collapsed="false">
      <c r="A4" s="6"/>
      <c r="B4" s="6" t="s">
        <v>102</v>
      </c>
      <c r="C4" s="6"/>
      <c r="D4" s="6"/>
      <c r="E4" s="6"/>
      <c r="F4" s="6"/>
    </row>
    <row r="5" customFormat="false" ht="49.5" hidden="false" customHeight="true" outlineLevel="0" collapsed="false">
      <c r="A5" s="6"/>
      <c r="B5" s="6" t="s">
        <v>103</v>
      </c>
      <c r="C5" s="6"/>
      <c r="D5" s="6"/>
      <c r="E5" s="6"/>
      <c r="F5" s="6"/>
    </row>
    <row r="6" customFormat="false" ht="49.5" hidden="false" customHeight="true" outlineLevel="0" collapsed="false">
      <c r="A6" s="6"/>
      <c r="B6" s="6" t="s">
        <v>104</v>
      </c>
      <c r="C6" s="6"/>
      <c r="D6" s="6"/>
      <c r="E6" s="6"/>
      <c r="F6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2026-04-21T06:06:31Z</dcterms:created>
  <dc:creator>openpyxl</dc:creator>
  <dc:description/>
  <dc:language>en-US</dc:language>
  <cp:lastModifiedBy/>
  <dcterms:modified xsi:type="dcterms:W3CDTF">2026-04-21T06:08:02Z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